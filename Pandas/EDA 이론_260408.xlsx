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<sst xmlns="http://schemas.openxmlformats.org/spreadsheetml/2006/main" count="71" uniqueCount="58">
  <si>
    <t>A</t>
  </si>
  <si>
    <t>비중</t>
  </si>
  <si>
    <t>B</t>
  </si>
  <si>
    <t>수학</t>
  </si>
  <si>
    <t>영어</t>
  </si>
  <si>
    <t>과학</t>
  </si>
  <si>
    <t>단순평균</t>
  </si>
  <si>
    <t>가중평균</t>
  </si>
  <si>
    <t>상품</t>
  </si>
  <si>
    <t>평점</t>
  </si>
  <si>
    <t>리뷰수</t>
  </si>
  <si>
    <t>캠페인</t>
  </si>
  <si>
    <t>전환율</t>
  </si>
  <si>
    <t>유입수</t>
  </si>
  <si>
    <t>%</t>
  </si>
  <si>
    <t>가중평균 = (각 데이터 * 가중치 | 가중치 추정값) 합 / (전체 모수 합)</t>
  </si>
  <si>
    <t>단순평균 x</t>
  </si>
  <si>
    <t>중간값</t>
  </si>
  <si>
    <t>- 데이터를 정렬했을 때, 정확하게 가운데에 위치해있는 값</t>
  </si>
  <si>
    <t>[10, 20, 30, 40, 1000] =&gt; 중간값 : 30</t>
  </si>
  <si>
    <t>-&gt; 평균의 모순</t>
  </si>
  <si>
    <t>가중중간값</t>
  </si>
  <si>
    <t>- 가중치를 고려해서 중간값을 찾는 것</t>
  </si>
  <si>
    <t>값</t>
  </si>
  <si>
    <t>개수(가중치)</t>
  </si>
  <si>
    <t>[10, 20, 30, 30, 30, 30, 30, 30, 30, 30]</t>
  </si>
  <si>
    <t>-&gt; 소수의 경우에는 정가운데 1개의 값</t>
  </si>
  <si>
    <t>-&gt; 짝수의 경우에는 가운데 2개의 값의 평균</t>
  </si>
  <si>
    <t>-&gt; 30</t>
  </si>
  <si>
    <t>절사평균</t>
  </si>
  <si>
    <t>- 데이터의 양쪽 끝의 일부를 잘라내고 평균을 구하는 것</t>
  </si>
  <si>
    <t>- 왜 절사평균을 사용하는가? 양쪽 끝에 존재하는 극단적인 값을 전체평균값에 제거 함으로써 데이터 평균에 충실하기 목적</t>
  </si>
  <si>
    <t>[10, 20, 30, 40, 1000]</t>
  </si>
  <si>
    <t>일반평균 220 (평균 모순 함정)</t>
  </si>
  <si>
    <t>10, 1000 -&gt; 제거</t>
  </si>
  <si>
    <t>&gt; 특정 업종.업계 평균 연봉 계산</t>
  </si>
  <si>
    <t>장점</t>
  </si>
  <si>
    <t>단점</t>
  </si>
  <si>
    <t>이상치 영향을 받지 않음</t>
  </si>
  <si>
    <t>데이터 사이즈 (크기) 반영 불가</t>
  </si>
  <si>
    <t>가중치 반영 가능</t>
  </si>
  <si>
    <t>가중치 계산을 별도</t>
  </si>
  <si>
    <t>안정적인 평균값 도출</t>
  </si>
  <si>
    <t>제거하고자 하는 데이터의 범위 기준 설정 모호</t>
  </si>
  <si>
    <t>[2, 4, 6, 8]</t>
  </si>
  <si>
    <t>평균 : = (2 + 4 + 6 + 8) / 4</t>
  </si>
  <si>
    <t>편차</t>
  </si>
  <si>
    <t>분산</t>
  </si>
  <si>
    <t xml:space="preserve"> 20 / 4 (모집분산)</t>
  </si>
  <si>
    <t>20 / (4-1) (표본샘플분산)</t>
  </si>
  <si>
    <t>평균</t>
  </si>
  <si>
    <t>학생</t>
  </si>
  <si>
    <t>C</t>
  </si>
  <si>
    <t>(A + B + C) / 3</t>
  </si>
  <si>
    <t>(60 + 80 + C) / 3</t>
  </si>
  <si>
    <t>140 + c  / 3 = 70</t>
  </si>
  <si>
    <t>140 + c = 210</t>
  </si>
  <si>
    <t>과소추정의 법칙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</si>
</sst>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2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37.0"/>
    <col customWidth="1" min="4" max="4" width="52.25"/>
  </cols>
  <sheetData>
    <row r="1" ht="3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75" customHeight="1">
      <c r="A2" s="1"/>
      <c r="B2" s="2" t="s">
        <v>0</v>
      </c>
      <c r="C2" s="1"/>
      <c r="D2" s="2" t="s">
        <v>1</v>
      </c>
      <c r="E2" s="1"/>
      <c r="F2" s="2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75" customHeight="1">
      <c r="A3" s="1"/>
      <c r="B3" s="2" t="s">
        <v>3</v>
      </c>
      <c r="C3" s="2">
        <v>90.0</v>
      </c>
      <c r="D3" s="2">
        <v>50.0</v>
      </c>
      <c r="E3" s="1"/>
      <c r="F3" s="2">
        <v>80.0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"/>
      <c r="B4" s="2" t="s">
        <v>4</v>
      </c>
      <c r="C4" s="2">
        <v>80.0</v>
      </c>
      <c r="D4" s="2">
        <v>30.0</v>
      </c>
      <c r="E4" s="1"/>
      <c r="F4" s="2">
        <v>80.0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6.75" customHeight="1">
      <c r="A5" s="1"/>
      <c r="B5" s="2" t="s">
        <v>5</v>
      </c>
      <c r="C5" s="2">
        <v>70.0</v>
      </c>
      <c r="D5" s="2">
        <v>20.0</v>
      </c>
      <c r="E5" s="1"/>
      <c r="F5" s="2">
        <v>80.0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6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6.75" customHeight="1">
      <c r="A7" s="1"/>
      <c r="B7" s="2" t="s">
        <v>6</v>
      </c>
      <c r="C7" s="1">
        <f>(90 + 80 + 70) / 3</f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6.75" customHeight="1">
      <c r="A8" s="1"/>
      <c r="B8" s="2" t="s">
        <v>7</v>
      </c>
      <c r="C8" s="1">
        <f>(90 * 0.5) + (80 * 0.3) + (70 * 0.2)</f>
        <v>83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6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6.75" customHeight="1">
      <c r="A10" s="1"/>
      <c r="B10" s="2" t="s">
        <v>8</v>
      </c>
      <c r="C10" s="2" t="s">
        <v>9</v>
      </c>
      <c r="D10" s="2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6.75" customHeight="1">
      <c r="A11" s="1"/>
      <c r="B11" s="2" t="s">
        <v>0</v>
      </c>
      <c r="C11" s="2">
        <v>5.0</v>
      </c>
      <c r="D11" s="2">
        <v>1.0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6.75" customHeight="1">
      <c r="A12" s="1"/>
      <c r="B12" s="2" t="s">
        <v>2</v>
      </c>
      <c r="C12" s="2">
        <v>4.0</v>
      </c>
      <c r="D12" s="2">
        <v>100.0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6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6.75" customHeight="1">
      <c r="A14" s="1"/>
      <c r="B14" s="2" t="s">
        <v>6</v>
      </c>
      <c r="C14" s="1">
        <f>(5+4) / 2</f>
        <v>4.5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6.75" customHeight="1">
      <c r="A15" s="1"/>
      <c r="B15" s="2" t="s">
        <v>7</v>
      </c>
      <c r="C15" s="3">
        <f>(5 * 1 + 4 * 100) / (1 + 100)</f>
        <v>4.00990099</v>
      </c>
      <c r="D15" s="2">
        <v>4.01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6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75" customHeight="1">
      <c r="A17" s="1"/>
      <c r="B17" s="2" t="s">
        <v>11</v>
      </c>
      <c r="C17" s="2" t="s">
        <v>12</v>
      </c>
      <c r="D17" s="2" t="s">
        <v>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6.75" customHeight="1">
      <c r="A18" s="1"/>
      <c r="B18" s="2" t="s">
        <v>0</v>
      </c>
      <c r="C18" s="4">
        <v>0.1</v>
      </c>
      <c r="D18" s="2">
        <v>10.0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6.75" customHeight="1">
      <c r="A19" s="1"/>
      <c r="B19" s="2" t="s">
        <v>2</v>
      </c>
      <c r="C19" s="4">
        <v>0.05</v>
      </c>
      <c r="D19" s="2">
        <v>1000.0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6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6.75" customHeight="1">
      <c r="A21" s="1"/>
      <c r="B21" s="2" t="s">
        <v>6</v>
      </c>
      <c r="C21" s="1">
        <f> (10 + 5) / 2</f>
        <v>7.5</v>
      </c>
      <c r="D21" s="2" t="s">
        <v>14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6.75" customHeight="1">
      <c r="A22" s="1"/>
      <c r="B22" s="2" t="s">
        <v>7</v>
      </c>
      <c r="C22" s="3">
        <f>(10 * 10 + 5 * 1000) / 1010</f>
        <v>5.04950495</v>
      </c>
      <c r="D22" s="5">
        <v>0.055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6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1"/>
      <c r="B24" s="6" t="s">
        <v>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6.75" customHeight="1">
      <c r="A25" s="1"/>
      <c r="B25" s="2" t="s">
        <v>16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6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6.75" customHeight="1">
      <c r="A27" s="1"/>
      <c r="B27" s="2" t="s">
        <v>17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6.75" customHeight="1">
      <c r="A28" s="1"/>
      <c r="B28" s="6" t="s">
        <v>18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6.75" customHeight="1">
      <c r="A29" s="1"/>
      <c r="B29" s="6" t="s">
        <v>19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6.75" customHeight="1">
      <c r="A30" s="1"/>
      <c r="B30" s="3">
        <f> (10 + 20 + 30 + 40 + 1000) / 5</f>
        <v>220</v>
      </c>
      <c r="C30" s="6" t="s">
        <v>20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6.75" customHeight="1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6.75" customHeight="1">
      <c r="A32" s="1"/>
      <c r="B32" s="6" t="s">
        <v>21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6.75" customHeight="1">
      <c r="A33" s="1"/>
      <c r="B33" s="6" t="s">
        <v>22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6.75" customHeight="1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6.75" customHeight="1">
      <c r="A35" s="1"/>
      <c r="B35" s="6" t="s">
        <v>23</v>
      </c>
      <c r="C35" s="6" t="s">
        <v>24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6.75" customHeight="1">
      <c r="A36" s="1"/>
      <c r="B36" s="6">
        <v>10.0</v>
      </c>
      <c r="C36" s="2">
        <v>1.0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6.75" customHeight="1">
      <c r="A37" s="1"/>
      <c r="B37" s="6">
        <v>20.0</v>
      </c>
      <c r="C37" s="2">
        <v>1.0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6.75" customHeight="1">
      <c r="A38" s="1"/>
      <c r="B38" s="6">
        <v>30.0</v>
      </c>
      <c r="C38" s="2">
        <v>8.0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6.75" customHeight="1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6.75" customHeight="1">
      <c r="A40" s="1"/>
      <c r="B40" s="6" t="s">
        <v>25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6.75" customHeight="1">
      <c r="A41" s="1"/>
      <c r="B41" s="6" t="s">
        <v>26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6.75" customHeight="1">
      <c r="A42" s="1"/>
      <c r="B42" s="6" t="s">
        <v>27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6.75" customHeight="1">
      <c r="A43" s="1"/>
      <c r="B43" s="6" t="s">
        <v>28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6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6.75" customHeight="1">
      <c r="A45" s="1"/>
      <c r="B45" s="6" t="s">
        <v>29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6.75" customHeight="1">
      <c r="A46" s="1"/>
      <c r="B46" s="6" t="s">
        <v>30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6.75" customHeight="1">
      <c r="A47" s="1"/>
      <c r="B47" s="6" t="s">
        <v>31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6.75" customHeight="1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6.75" customHeight="1">
      <c r="A49" s="1"/>
      <c r="B49" s="6" t="s">
        <v>32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6.75" customHeight="1">
      <c r="A50" s="1"/>
      <c r="B50" s="6" t="s">
        <v>33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6.75" customHeight="1">
      <c r="A51" s="1"/>
      <c r="B51" s="6" t="s">
        <v>34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6.75" customHeight="1">
      <c r="A52" s="1"/>
      <c r="B52" s="3">
        <f> (20 + 30 + 40) / 3</f>
        <v>30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6.75" customHeight="1">
      <c r="A53" s="1"/>
      <c r="B53" s="6" t="s">
        <v>35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6.75" customHeight="1">
      <c r="A54" s="1"/>
      <c r="B54" s="3"/>
      <c r="C54" s="2" t="s">
        <v>36</v>
      </c>
      <c r="D54" s="2" t="s">
        <v>37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6.75" customHeight="1">
      <c r="A55" s="1"/>
      <c r="B55" s="6" t="s">
        <v>17</v>
      </c>
      <c r="C55" s="2" t="s">
        <v>38</v>
      </c>
      <c r="D55" s="2" t="s">
        <v>39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6.75" customHeight="1">
      <c r="A56" s="1"/>
      <c r="B56" s="6" t="s">
        <v>21</v>
      </c>
      <c r="C56" s="2" t="s">
        <v>40</v>
      </c>
      <c r="D56" s="2" t="s">
        <v>41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6.75" customHeight="1">
      <c r="A57" s="1"/>
      <c r="B57" s="6" t="s">
        <v>29</v>
      </c>
      <c r="C57" s="2" t="s">
        <v>42</v>
      </c>
      <c r="D57" s="2" t="s">
        <v>43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6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6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6.75" customHeight="1">
      <c r="A60" s="1"/>
      <c r="B60" s="2" t="s">
        <v>44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6.75" customHeight="1">
      <c r="A61" s="1"/>
      <c r="B61" s="6" t="s">
        <v>45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75" customHeight="1">
      <c r="A62" s="1"/>
      <c r="B62" s="3">
        <f> (2 + 4 + 6 + 8) / 4</f>
        <v>5</v>
      </c>
      <c r="C62" s="2" t="s">
        <v>46</v>
      </c>
      <c r="D62" s="2" t="s">
        <v>47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6.75" customHeight="1">
      <c r="A63" s="1"/>
      <c r="B63" s="2">
        <v>2.0</v>
      </c>
      <c r="C63" s="1">
        <f t="shared" ref="C63:C66" si="1">B63-$B$62</f>
        <v>-3</v>
      </c>
      <c r="D63" s="1">
        <f t="shared" ref="D63:D66" si="2">C63^2</f>
        <v>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6.75" customHeight="1">
      <c r="A64" s="1"/>
      <c r="B64" s="2">
        <v>4.0</v>
      </c>
      <c r="C64" s="1">
        <f t="shared" si="1"/>
        <v>-1</v>
      </c>
      <c r="D64" s="1">
        <f t="shared" si="2"/>
        <v>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6.75" customHeight="1">
      <c r="A65" s="1"/>
      <c r="B65" s="2">
        <v>6.0</v>
      </c>
      <c r="C65" s="1">
        <f t="shared" si="1"/>
        <v>1</v>
      </c>
      <c r="D65" s="1">
        <f t="shared" si="2"/>
        <v>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6.75" customHeight="1">
      <c r="A66" s="1"/>
      <c r="B66" s="2">
        <v>8.0</v>
      </c>
      <c r="C66" s="1">
        <f t="shared" si="1"/>
        <v>3</v>
      </c>
      <c r="D66" s="1">
        <f t="shared" si="2"/>
        <v>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6.75" customHeight="1">
      <c r="A67" s="1"/>
      <c r="B67" s="1"/>
      <c r="C67" s="2">
        <v>5.0</v>
      </c>
      <c r="D67" s="2" t="s">
        <v>48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6.75" customHeight="1">
      <c r="A68" s="1"/>
      <c r="B68" s="1"/>
      <c r="C68" s="7">
        <f>20/(4-1)</f>
        <v>6.666666667</v>
      </c>
      <c r="D68" s="2" t="s">
        <v>49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6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6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6.75" customHeight="1">
      <c r="A71" s="1"/>
      <c r="B71" s="2" t="s">
        <v>50</v>
      </c>
      <c r="C71" s="2">
        <v>70.0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6.75" customHeight="1">
      <c r="A72" s="1"/>
      <c r="B72" s="2" t="s">
        <v>51</v>
      </c>
      <c r="C72" s="2">
        <v>3.0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6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6.75" customHeight="1">
      <c r="A74" s="1"/>
      <c r="B74" s="2" t="s">
        <v>0</v>
      </c>
      <c r="C74" s="2">
        <v>60.0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6.75" customHeight="1">
      <c r="A75" s="1"/>
      <c r="B75" s="2" t="s">
        <v>2</v>
      </c>
      <c r="C75" s="2">
        <v>80.0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6.75" customHeight="1">
      <c r="A76" s="1"/>
      <c r="B76" s="2" t="s">
        <v>52</v>
      </c>
      <c r="C76" s="2">
        <v>70.0</v>
      </c>
      <c r="D76" s="2">
        <v>74.0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6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6.75" customHeight="1">
      <c r="A78" s="1"/>
      <c r="B78" s="2" t="s">
        <v>53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6.75" customHeight="1">
      <c r="A79" s="1"/>
      <c r="B79" s="2" t="s">
        <v>54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6.75" customHeight="1">
      <c r="A80" s="1"/>
      <c r="B80" s="2" t="s">
        <v>55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6.75" customHeight="1">
      <c r="A81" s="1"/>
      <c r="B81" s="2" t="s">
        <v>56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6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6.75" customHeight="1">
      <c r="A83" s="1"/>
      <c r="B83" s="2" t="s">
        <v>57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6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6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6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6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6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6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6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6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6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6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6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6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6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6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6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6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6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6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6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6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6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6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6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6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6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6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6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6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6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6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6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6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6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6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6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6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6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6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6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6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6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6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6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6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6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6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6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6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6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6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6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6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6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6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6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6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6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6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6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6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6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6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6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6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6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6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6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6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6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6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6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6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6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6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6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6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6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6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6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6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6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6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6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6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6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6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6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6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6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6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6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6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6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6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6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6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6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6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6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6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6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6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6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6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6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6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6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6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6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6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6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6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6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6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6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6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6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6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6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6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6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6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6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6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6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6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6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6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6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6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6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6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6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6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6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6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6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6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6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6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6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6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6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6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6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6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6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6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6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6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6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6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6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6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6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6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6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6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6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6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6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6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6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6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6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6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6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6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6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6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6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6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6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6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6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6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6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6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6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6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6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6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6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6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6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6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6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6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6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6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6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6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6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6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6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6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6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6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6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6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6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6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6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6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6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6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6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6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6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6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6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6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6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6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6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6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6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6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6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6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6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6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6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6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6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6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6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6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6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6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6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6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6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6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6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6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6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6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6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6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6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6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6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6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6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6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6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6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6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6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6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6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6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6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6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6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6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6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6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6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6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6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6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6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6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6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6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6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6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6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6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6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6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6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6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6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6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6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6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6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6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6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6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6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6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6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6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6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6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6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6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6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6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6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6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6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6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6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6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6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6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6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6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6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6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6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6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6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6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6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6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6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6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6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6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6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6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6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6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6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6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6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6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6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6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6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6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6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6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6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6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6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6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6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6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6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6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6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6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6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6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6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6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6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6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6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6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6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6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6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6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6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6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6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6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6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6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6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6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6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6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6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6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6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6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6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6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6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6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6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6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6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6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6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6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6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6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6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6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6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6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6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6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6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6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6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6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6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6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6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6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6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6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6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6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6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6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6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6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6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6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6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6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6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6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6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6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6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6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6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6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6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6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6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6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6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6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6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6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6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6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6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6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6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6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6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6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6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6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6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6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6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6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6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6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6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6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6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6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6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6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6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6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6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6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6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6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6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6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6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6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6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6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6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6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6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6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6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6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6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6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6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6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6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6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6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6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6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6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6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6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6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6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6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6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6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6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6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6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6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6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6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6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6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6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6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6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6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6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6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6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6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6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6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6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6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6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6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6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6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6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6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6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6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6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6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6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6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6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6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6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6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6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6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6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6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6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6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6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6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6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6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6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6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6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6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6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6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6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6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6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6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6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6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6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6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6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6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6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6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6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6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6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6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6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6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6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6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6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6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6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6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6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6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6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6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6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6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6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6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6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6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6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6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6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6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6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6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6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6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6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6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6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6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6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6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6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6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6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6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6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6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6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6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6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6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6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6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6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6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6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6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6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6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6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6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6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6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6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6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6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6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6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6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6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6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6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6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6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6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6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6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6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6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6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6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6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6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6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6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6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6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6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6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6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6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6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6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6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6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6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6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6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6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6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6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6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6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6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6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6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6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6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6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6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6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6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6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6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6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6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6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6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6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6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6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6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6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6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6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6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6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6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6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6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6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6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6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6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6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6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6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6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6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6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6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6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6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6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6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6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6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6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6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6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6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6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6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6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6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6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6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6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6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6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6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6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6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6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6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6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6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6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6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6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6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6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6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6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6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6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6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6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6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6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6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6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6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6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6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6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6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6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6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6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6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6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6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6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6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6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6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6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6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6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6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6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6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6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6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6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6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6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6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6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6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6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6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6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6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6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6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6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6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6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6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6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6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6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6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6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6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6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6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6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6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6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6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6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6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6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6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6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6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6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6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6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6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6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6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6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6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6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6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6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6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6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6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6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6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6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6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6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6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6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6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6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6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6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6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6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6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6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6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6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6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6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6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6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6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6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6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6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6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6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6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6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36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6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36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36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6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6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36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6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36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6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36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36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6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6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36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6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6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36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6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6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6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6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6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6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36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6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6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36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6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6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6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36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36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6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36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6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6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36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36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6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6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6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36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36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3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36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6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6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6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6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36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6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6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6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6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6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36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36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6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36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36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