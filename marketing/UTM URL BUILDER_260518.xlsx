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mpaign name+ URL Builder" sheetId="1" r:id="rId5"/>
    <sheet state="visible" name="Variable Values" sheetId="2" r:id="rId6"/>
  </sheets>
  <definedNames/>
  <calcPr/>
</workbook>
</file>

<file path=xl/sharedStrings.xml><?xml version="1.0" encoding="utf-8"?>
<sst xmlns="http://schemas.openxmlformats.org/spreadsheetml/2006/main" count="98" uniqueCount="74">
  <si>
    <t>UTM URL BUILDER</t>
  </si>
  <si>
    <t>Destination URL</t>
  </si>
  <si>
    <t>Traffic Source</t>
  </si>
  <si>
    <t>Traffic Type</t>
  </si>
  <si>
    <t>Traffic Place</t>
  </si>
  <si>
    <t>Traffic Keyword</t>
  </si>
  <si>
    <t>Campaign Variable</t>
  </si>
  <si>
    <t>Campaign Name</t>
  </si>
  <si>
    <t>Full Destination URL</t>
  </si>
  <si>
    <t>Etc</t>
  </si>
  <si>
    <t>Web page the campaign directs to</t>
  </si>
  <si>
    <t>utm_source</t>
  </si>
  <si>
    <t>utm_medium</t>
  </si>
  <si>
    <t>utm_content</t>
  </si>
  <si>
    <t>utm_term</t>
  </si>
  <si>
    <t>Media_type</t>
  </si>
  <si>
    <t>Tactic</t>
  </si>
  <si>
    <t>Product_category</t>
  </si>
  <si>
    <t>Manufacturer</t>
  </si>
  <si>
    <t>Free_text</t>
  </si>
  <si>
    <t>Campaign Name in ad platform</t>
  </si>
  <si>
    <t>Destination URL in ad platform</t>
  </si>
  <si>
    <t>https://hayeonkim1.cafe24.com/</t>
  </si>
  <si>
    <t>naver</t>
  </si>
  <si>
    <t>cpm</t>
  </si>
  <si>
    <t>mobile_thum_2</t>
  </si>
  <si>
    <t>나이키</t>
  </si>
  <si>
    <t>D</t>
  </si>
  <si>
    <t>Brand</t>
  </si>
  <si>
    <t>Clothes</t>
  </si>
  <si>
    <t>Adidas</t>
  </si>
  <si>
    <t>promotion</t>
  </si>
  <si>
    <t>google</t>
  </si>
  <si>
    <t>cpc</t>
  </si>
  <si>
    <t>pc_thum_1</t>
  </si>
  <si>
    <t>샤넬</t>
  </si>
  <si>
    <t>Shoes</t>
  </si>
  <si>
    <t>Nike</t>
  </si>
  <si>
    <t>S</t>
  </si>
  <si>
    <t>Generic</t>
  </si>
  <si>
    <t>Channel</t>
  </si>
  <si>
    <t>anniversary</t>
  </si>
  <si>
    <t>kakao</t>
  </si>
  <si>
    <t>cpa</t>
  </si>
  <si>
    <t>pc_main</t>
  </si>
  <si>
    <t>달바</t>
  </si>
  <si>
    <t>PS</t>
  </si>
  <si>
    <t>Sports</t>
  </si>
  <si>
    <t>last_event</t>
  </si>
  <si>
    <t>instagram</t>
  </si>
  <si>
    <t>cpv</t>
  </si>
  <si>
    <t>tablet_main</t>
  </si>
  <si>
    <t>올리브영</t>
  </si>
  <si>
    <t>V</t>
  </si>
  <si>
    <t>Product category</t>
  </si>
  <si>
    <t>FoodUnderwerar</t>
  </si>
  <si>
    <t>dalva</t>
  </si>
  <si>
    <t>fianl_show</t>
  </si>
  <si>
    <t>facebook</t>
  </si>
  <si>
    <t>email</t>
  </si>
  <si>
    <t>pc_main_text</t>
  </si>
  <si>
    <t>라네즈</t>
  </si>
  <si>
    <t>A</t>
  </si>
  <si>
    <t>Remarketing</t>
  </si>
  <si>
    <t>Nusinsa</t>
  </si>
  <si>
    <t>tiktok</t>
  </si>
  <si>
    <t>social</t>
  </si>
  <si>
    <t>pc_image_mainimage</t>
  </si>
  <si>
    <t>뚜레쥬르</t>
  </si>
  <si>
    <t>R</t>
  </si>
  <si>
    <t>thumbnail1</t>
  </si>
  <si>
    <t>서브웨이</t>
  </si>
  <si>
    <t>쿠팡플레이</t>
  </si>
  <si>
    <t>CU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</si>
</sst>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i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horizontal="center"/>
    </xf>
    <xf borderId="0" fillId="3" fontId="3" numFmtId="0" xfId="0" applyAlignment="1" applyFill="1" applyFont="1">
      <alignment horizontal="center" readingOrder="0"/>
    </xf>
    <xf borderId="0" fillId="3" fontId="1" numFmtId="0" xfId="0" applyAlignment="1" applyFont="1">
      <alignment horizontal="center" readingOrder="0"/>
    </xf>
    <xf borderId="0" fillId="3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3" fontId="5" numFmtId="0" xfId="0" applyAlignment="1" applyFont="1">
      <alignment horizontal="center"/>
    </xf>
    <xf borderId="0" fillId="2" fontId="2" numFmtId="0" xfId="0" applyAlignment="1" applyFont="1">
      <alignment readingOrder="0"/>
    </xf>
    <xf borderId="0" fillId="2" fontId="2" numFmtId="0" xfId="0" applyFont="1"/>
    <xf borderId="0" fillId="3" fontId="3" numFmtId="0" xfId="0" applyAlignment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hayeonkim1.cafe24.com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25"/>
    <col customWidth="1" min="4" max="4" width="14.88"/>
    <col customWidth="1" min="6" max="6" width="15.0"/>
    <col customWidth="1" min="8" max="8" width="14.0"/>
    <col customWidth="1" min="11" max="11" width="25.38"/>
    <col customWidth="1" min="12" max="12" width="23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J2" s="4"/>
      <c r="K2" s="3" t="s">
        <v>7</v>
      </c>
      <c r="L2" s="3" t="s">
        <v>8</v>
      </c>
      <c r="M2" s="3" t="s">
        <v>9</v>
      </c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10</v>
      </c>
      <c r="B3" s="5" t="s">
        <v>11</v>
      </c>
      <c r="C3" s="5" t="s">
        <v>12</v>
      </c>
      <c r="D3" s="6" t="s">
        <v>13</v>
      </c>
      <c r="E3" s="6" t="s">
        <v>14</v>
      </c>
      <c r="F3" s="6" t="s">
        <v>15</v>
      </c>
      <c r="G3" s="6" t="s">
        <v>16</v>
      </c>
      <c r="H3" s="6" t="s">
        <v>17</v>
      </c>
      <c r="I3" s="6" t="s">
        <v>18</v>
      </c>
      <c r="J3" s="7" t="s">
        <v>19</v>
      </c>
      <c r="K3" s="6" t="s">
        <v>20</v>
      </c>
      <c r="L3" s="8" t="s">
        <v>21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2" t="str">
        <f> CONCATENATE(F4,"_",G4,"_",H4,"_",I4)</f>
        <v>D_Brand_Clothes_Adidas</v>
      </c>
      <c r="L4" s="11" t="str">
        <f>IF(A4&lt;&gt;"",CONCATENATE(A4,"?utm_source=",B4,"&amp;utm_medium=",C4,"&amp;utm_campaign=",ENCODEURL(K4),IF(D4&lt;&gt;"","&amp;utm_content="&amp;ENCODEURL(D4),""),IF(E4&lt;&gt;"","&amp;utm_term="&amp;ENCODEURL(E4),"")),"")</f>
        <v>https://hayeonkim1.cafe24.com/?utm_source=naver&amp;utm_medium=cpm&amp;utm_campaign=D_Brand_Clothes_Adidas&amp;utm_content=mobile_thum_2&amp;utm_term=%EB%82%98%EC%9D%B4%ED%82%A4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1"/>
      <c r="G5" s="2"/>
      <c r="H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F2:I2"/>
  </mergeCells>
  <dataValidations>
    <dataValidation type="list" allowBlank="1" showErrorMessage="1" sqref="C4">
      <formula1>'Variable Values'!$B$4:$B$9</formula1>
    </dataValidation>
    <dataValidation type="list" allowBlank="1" showErrorMessage="1" sqref="E4">
      <formula1>'Variable Values'!$D$4:$D$12</formula1>
    </dataValidation>
    <dataValidation type="list" allowBlank="1" showErrorMessage="1" sqref="H4">
      <formula1>'Variable Values'!$G$4:$G$7</formula1>
    </dataValidation>
    <dataValidation type="list" allowBlank="1" showErrorMessage="1" sqref="J4">
      <formula1>'Variable Values'!$I$4:$I$7</formula1>
    </dataValidation>
    <dataValidation type="list" allowBlank="1" showErrorMessage="1" sqref="D4">
      <formula1>'Variable Values'!$C$4:$C$10</formula1>
    </dataValidation>
    <dataValidation type="list" allowBlank="1" showErrorMessage="1" sqref="G4">
      <formula1>'Variable Values'!$F$4:$F$8</formula1>
    </dataValidation>
    <dataValidation type="list" allowBlank="1" showErrorMessage="1" sqref="I4">
      <formula1>'Variable Values'!$H$4:$H$8</formula1>
    </dataValidation>
    <dataValidation type="list" allowBlank="1" showErrorMessage="1" sqref="F4">
      <formula1>'Variable Values'!$E$4:$E$9</formula1>
    </dataValidation>
    <dataValidation type="list" allowBlank="1" showErrorMessage="1" sqref="B4">
      <formula1>'Variable Values'!$A$4:$A$9</formula1>
    </dataValidation>
  </dataValidations>
  <hyperlinks>
    <hyperlink r:id="rId1" ref="A4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2" t="s">
        <v>2</v>
      </c>
      <c r="B2" s="12" t="s">
        <v>3</v>
      </c>
      <c r="C2" s="3" t="s">
        <v>4</v>
      </c>
      <c r="D2" s="3" t="s">
        <v>5</v>
      </c>
      <c r="E2" s="3" t="s">
        <v>6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>
      <c r="A3" s="7" t="s">
        <v>11</v>
      </c>
      <c r="B3" s="14" t="s">
        <v>12</v>
      </c>
      <c r="C3" s="6" t="s">
        <v>13</v>
      </c>
      <c r="D3" s="6" t="s">
        <v>14</v>
      </c>
      <c r="E3" s="6" t="s">
        <v>15</v>
      </c>
      <c r="F3" s="6" t="s">
        <v>16</v>
      </c>
      <c r="G3" s="6" t="s">
        <v>17</v>
      </c>
      <c r="H3" s="6" t="s">
        <v>18</v>
      </c>
      <c r="I3" s="7" t="s">
        <v>19</v>
      </c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>
      <c r="A4" s="8" t="s">
        <v>32</v>
      </c>
      <c r="B4" s="8" t="s">
        <v>33</v>
      </c>
      <c r="C4" s="8" t="s">
        <v>34</v>
      </c>
      <c r="D4" s="8" t="s">
        <v>35</v>
      </c>
      <c r="E4" s="8" t="s">
        <v>27</v>
      </c>
      <c r="F4" s="8" t="s">
        <v>28</v>
      </c>
      <c r="G4" s="8" t="s">
        <v>36</v>
      </c>
      <c r="H4" s="8" t="s">
        <v>37</v>
      </c>
      <c r="I4" s="8" t="s">
        <v>31</v>
      </c>
    </row>
    <row r="5">
      <c r="A5" s="8" t="s">
        <v>23</v>
      </c>
      <c r="B5" s="8" t="s">
        <v>24</v>
      </c>
      <c r="C5" s="8" t="s">
        <v>25</v>
      </c>
      <c r="D5" s="8" t="s">
        <v>26</v>
      </c>
      <c r="E5" s="8" t="s">
        <v>38</v>
      </c>
      <c r="F5" s="8" t="s">
        <v>39</v>
      </c>
      <c r="G5" s="8" t="s">
        <v>29</v>
      </c>
      <c r="H5" s="8" t="s">
        <v>40</v>
      </c>
      <c r="I5" s="8" t="s">
        <v>41</v>
      </c>
    </row>
    <row r="6">
      <c r="A6" s="8" t="s">
        <v>42</v>
      </c>
      <c r="B6" s="8" t="s">
        <v>43</v>
      </c>
      <c r="C6" s="8" t="s">
        <v>44</v>
      </c>
      <c r="D6" s="8" t="s">
        <v>45</v>
      </c>
      <c r="E6" s="8" t="s">
        <v>46</v>
      </c>
      <c r="F6" s="8" t="s">
        <v>18</v>
      </c>
      <c r="G6" s="8" t="s">
        <v>47</v>
      </c>
      <c r="H6" s="8" t="s">
        <v>30</v>
      </c>
      <c r="I6" s="8" t="s">
        <v>48</v>
      </c>
    </row>
    <row r="7">
      <c r="A7" s="8" t="s">
        <v>49</v>
      </c>
      <c r="B7" s="8" t="s">
        <v>50</v>
      </c>
      <c r="C7" s="8" t="s">
        <v>51</v>
      </c>
      <c r="D7" s="8" t="s">
        <v>52</v>
      </c>
      <c r="E7" s="8" t="s">
        <v>53</v>
      </c>
      <c r="F7" s="8" t="s">
        <v>54</v>
      </c>
      <c r="G7" s="8" t="s">
        <v>55</v>
      </c>
      <c r="H7" s="8" t="s">
        <v>56</v>
      </c>
      <c r="I7" s="8" t="s">
        <v>57</v>
      </c>
    </row>
    <row r="8">
      <c r="A8" s="8" t="s">
        <v>58</v>
      </c>
      <c r="B8" s="8" t="s">
        <v>59</v>
      </c>
      <c r="C8" s="8" t="s">
        <v>60</v>
      </c>
      <c r="D8" s="8" t="s">
        <v>61</v>
      </c>
      <c r="E8" s="8" t="s">
        <v>62</v>
      </c>
      <c r="F8" s="8" t="s">
        <v>63</v>
      </c>
      <c r="H8" s="8" t="s">
        <v>64</v>
      </c>
    </row>
    <row r="9">
      <c r="A9" s="8" t="s">
        <v>65</v>
      </c>
      <c r="B9" s="8" t="s">
        <v>66</v>
      </c>
      <c r="C9" s="8" t="s">
        <v>67</v>
      </c>
      <c r="D9" s="8" t="s">
        <v>68</v>
      </c>
      <c r="E9" s="8" t="s">
        <v>69</v>
      </c>
    </row>
    <row r="10">
      <c r="C10" s="8" t="s">
        <v>70</v>
      </c>
      <c r="D10" s="8" t="s">
        <v>71</v>
      </c>
    </row>
    <row r="11">
      <c r="D11" s="8" t="s">
        <v>72</v>
      </c>
    </row>
    <row r="12">
      <c r="D12" s="8" t="s">
        <v>73</v>
      </c>
    </row>
  </sheetData>
  <mergeCells count="1">
    <mergeCell ref="E2:H2"/>
  </mergeCells>
  <drawing r:id="rId1"/>
</worksheet>
</file>